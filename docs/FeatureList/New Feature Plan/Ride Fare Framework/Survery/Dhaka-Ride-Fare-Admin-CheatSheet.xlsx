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activeTab="2"/>
  </bookViews>
  <sheets>
    <sheet name="Formula &amp; Legend" sheetId="1" r:id="rId1"/>
    <sheet name="Rate Card (Enter These)" sheetId="2" r:id="rId2"/>
    <sheet name="Formula and Simula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<sst xmlns="http://schemas.openxmlformats.org/spreadsheetml/2006/main" count="144" uniqueCount="102">
  <si>
    <t>Dhaka Ride-Fare Engine — Admin Cheat Sheet</t>
  </si>
  <si>
    <t>Enter values on the 'Rate Card (Enter These)' tab. This sheet explains what each column means and how the engine computes the final fare.</t>
  </si>
  <si>
    <t>FINAL FARE FORMULA</t>
  </si>
  <si>
    <t>final_fare = base_fare + (trip_rate x trip_distance_km) + (wait_rate x chargeable_wait_min) + pickup_fee</t>
  </si>
  <si>
    <t>PICKUP FEE FORMULA</t>
  </si>
  <si>
    <t>chargeable_km = MIN( MAX(0, reference_pickup_km - free_radius_km), cap_km )</t>
  </si>
  <si>
    <t>pickup_fee_raw = chargeable_km x pickup_rate</t>
  </si>
  <si>
    <t>pickup_fee = MIN( pickup_fee_raw, cap_pct x fare_before_pickup )</t>
  </si>
  <si>
    <t>pickup_rate = trip_rate x category_multiplier   [multiplier is LOCKED per category, see table]</t>
  </si>
  <si>
    <t>LEGEND — what each term means</t>
  </si>
  <si>
    <t>Term</t>
  </si>
  <si>
    <t>Meaning</t>
  </si>
  <si>
    <t>final_fare</t>
  </si>
  <si>
    <t>Total amount the rider is charged for the completed trip.</t>
  </si>
  <si>
    <t>base_fare</t>
  </si>
  <si>
    <t>Fixed BDT amount per trip. Covers driver's fixed trip-initiation overhead (app interaction, locating rider) — NOT drive-to-pickup time, that's priced separately by pickup_fee.</t>
  </si>
  <si>
    <t>trip_rate</t>
  </si>
  <si>
    <t>BDT per km. Multiplied by the actual trip distance (loaded, rider onboard) to get the distance charge. This is the main lever — see Rate Card tab.</t>
  </si>
  <si>
    <t>trip_distance_km</t>
  </si>
  <si>
    <t>Actual road-network distance of the completed trip, rider onboard. Computed by the routing engine per trip, not entered by admin.</t>
  </si>
  <si>
    <t>wait_rate</t>
  </si>
  <si>
    <t>BDT per minute. Charged for waiting time beyond the free grace period.</t>
  </si>
  <si>
    <t>chargeable_wait_min</t>
  </si>
  <si>
    <t>Minutes the rider made the driver wait, minus the free_wait_min grace period. Computed by the engine per trip (wait_timer - free_wait_min, floored at 0).</t>
  </si>
  <si>
    <t>pickup_fee</t>
  </si>
  <si>
    <t>Charge for the driver's dead-mileage to reach the rider. See Pickup Fee Formula above.</t>
  </si>
  <si>
    <t>reference_pickup_km</t>
  </si>
  <si>
    <t>Road-network distance from driver's position (at accept) to the rider's pickup pin. Computed per trip by the routing engine, not entered by admin.</t>
  </si>
  <si>
    <t>free_radius_km</t>
  </si>
  <si>
    <t>Pickup distance (km) the rider is NOT charged for. Below this radius, pickup_fee = 0.</t>
  </si>
  <si>
    <t>cap_km</t>
  </si>
  <si>
    <t>Maximum chargeable pickup km — the rider is never billed for more than this many km of pickup, no matter how far the driver actually was.</t>
  </si>
  <si>
    <t>pickup_rate</t>
  </si>
  <si>
    <t>BDT per km, charged only on the chargeable portion of the pickup distance. Derived as trip_rate x category_multiplier — engine computes this, admin does not enter it directly.</t>
  </si>
  <si>
    <t>category_multiplier</t>
  </si>
  <si>
    <t>Fixed fraction (0.75 / 0.80 / 0.90) applied to trip_rate to get pickup_rate. Locked per category — see Rate Card tab. Do not edit without a deliberate pricing decision; this is not cost-derived, it is an intentional rider-facing discount on deadhead charging.</t>
  </si>
  <si>
    <t>cap_pct</t>
  </si>
  <si>
    <t>Backstop cap: pickup_fee can never exceed this % of the fare-before-pickup, protecting riders on short trips with long pickups. Locked at 40% for all categories.</t>
  </si>
  <si>
    <t>fare_before_pickup</t>
  </si>
  <si>
    <t>base_fare + (trip_rate x trip_distance_km) + wait_charge — i.e. the fare before the pickup fee is added. Used only to compute the cap_pct backstop.</t>
  </si>
  <si>
    <t>free_wait_min</t>
  </si>
  <si>
    <t>Minutes of waiting the rider gets free before the wait_rate starts charging.</t>
  </si>
  <si>
    <t>NOTE</t>
  </si>
  <si>
    <t>Yellow cells on the Rate Card tab are the only values the admin should enter/edit. Everything else is either a fixed engine constant or computed per trip by the routing/dispatch engine — do not hardcode those into the admin panel.</t>
  </si>
  <si>
    <t>Enter yellow cells only. Grey cells are computed by formula — do not overwrite.</t>
  </si>
  <si>
    <t>Sub-Category</t>
  </si>
  <si>
    <t>trip_rate
(BDT/km)</t>
  </si>
  <si>
    <t>category_
multiplier</t>
  </si>
  <si>
    <t>pickup_rate
(BDT/km, computed)</t>
  </si>
  <si>
    <t>base_fare
(BDT)</t>
  </si>
  <si>
    <t>wait_rate
(BDT/min)</t>
  </si>
  <si>
    <t>Bike Economy (100cc)</t>
  </si>
  <si>
    <t>Bike Standard (125cc)</t>
  </si>
  <si>
    <t>Bike Premium (150cc)</t>
  </si>
  <si>
    <t>CNG Standard (~200cc)</t>
  </si>
  <si>
    <t>Car Economy (1000cc)</t>
  </si>
  <si>
    <t>Car Standard (1500cc)</t>
  </si>
  <si>
    <t>Car Premium (1500cc)</t>
  </si>
  <si>
    <t>Yellow = admin enters. Grey (pickup_rate) = auto-computed, do not edit.</t>
  </si>
  <si>
    <t>category_multiplier is a locked pricing decision, not a cost figure — changing it re-prices deadhead compensation for that whole category.</t>
  </si>
  <si>
    <t>final_fare = base_fare + (trip_rate × 17) + (wait_rate × max(0, 5 − free_wait_min)) + 0 (no pickup km given)</t>
  </si>
  <si>
    <t>Final Fare</t>
  </si>
  <si>
    <t>KM</t>
  </si>
  <si>
    <t>Trip Rate</t>
  </si>
  <si>
    <t>Free Wait Time</t>
  </si>
  <si>
    <t>Actual Wait Time</t>
  </si>
  <si>
    <t>Actual Waiting Time</t>
  </si>
  <si>
    <t>Wait BDT/Min</t>
  </si>
  <si>
    <t>Chargable Wait Fee</t>
  </si>
  <si>
    <t>Ride</t>
  </si>
  <si>
    <t>Pathao</t>
  </si>
  <si>
    <t>uber</t>
  </si>
  <si>
    <t>Car XL</t>
  </si>
  <si>
    <t xml:space="preserve">My Suggestions: </t>
  </si>
  <si>
    <t>Final rate</t>
  </si>
  <si>
    <t>Base Rate</t>
  </si>
  <si>
    <t>Base KM</t>
  </si>
  <si>
    <t>X</t>
  </si>
  <si>
    <t>Cost BDT/KM</t>
  </si>
  <si>
    <t>Trip Rate = (Trip Bonus Rate + Fuel Cost BDT/KM + Trip Duration Cost + Maintenance Cost BDT/KM + Depreciation Cost BDT/KM + Parking Cost BDT/KM + Registration Renewal Cost BDT/KM + Cold Zone Surcharge BDT/Min) x Odd Hour Surcharge Multiplier</t>
  </si>
  <si>
    <t>Base Fare = Base KM x Trip Rate</t>
  </si>
  <si>
    <t>Total Fare = Max(Total KM, Base KM) x Trip Rate</t>
  </si>
  <si>
    <t>Waiting Time Rate = Waiting Fee BDT/Min x (Total Waiting Time - Free Waiting Time)</t>
  </si>
  <si>
    <t>Pickup Rate = Total Pickup distance KM x Trip Rate</t>
  </si>
  <si>
    <t>Cold Zone Surcharge = (Average waiting time for the Driver in the destination - Free Waiting Time) x Waiting Rate</t>
  </si>
  <si>
    <t>The app engine gives us</t>
  </si>
  <si>
    <t>Total KM</t>
  </si>
  <si>
    <t>Total Pickup distance</t>
  </si>
  <si>
    <t>Total Waiting Min</t>
  </si>
  <si>
    <t xml:space="preserve">Cold Zone avg Waiting time (initially Zero, but as the engine get more and more data, can generate an average waiting time for any vehicle. This is not verifiable, but with proper notification to the Rider that the destination is a Cold Zone and may take the driver ## number of mins to get a call or travel a long distance to get a ride). </t>
  </si>
  <si>
    <t xml:space="preserve">We need to decide on --- These are the thing we should ask the AI model. </t>
  </si>
  <si>
    <t>Trip Bonus Rate (or Trip Rate Multiplier)</t>
  </si>
  <si>
    <t>Waiting time Rate</t>
  </si>
  <si>
    <t>Free Waiting Time</t>
  </si>
  <si>
    <t>AVG KM Run per Month or even per day</t>
  </si>
  <si>
    <t>Economic Lifetime of a vehicle</t>
  </si>
  <si>
    <t>Buy Price of the vehicle when new (LC Cost + Tax + Registration)</t>
  </si>
  <si>
    <t>Per month Maintenance Cost</t>
  </si>
  <si>
    <t>Parking Cost</t>
  </si>
  <si>
    <t xml:space="preserve">Registration Renewal Cost. </t>
  </si>
  <si>
    <t>Trip Duration Cost Per Min</t>
  </si>
  <si>
    <t>Odd Hour Surcharge Multiplier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</si>
</sst>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3">
    <font>
      <sz val="11"/>
      <color theme="1"/>
      <name val="Calibri"/>
      <charset val="1"/>
    </font>
    <font>
      <sz val="10"/>
      <name val="Arial"/>
      <charset val="1"/>
    </font>
    <font>
      <b/>
      <sz val="12"/>
      <name val="Arial"/>
      <charset val="1"/>
    </font>
    <font>
      <sz val="10"/>
      <name val="Consolas"/>
      <charset val="1"/>
    </font>
    <font>
      <b/>
      <sz val="11"/>
      <color theme="1"/>
      <name val="Calibri"/>
      <charset val="1"/>
    </font>
    <font>
      <sz val="10"/>
      <name val="Arial"/>
      <charset val="134"/>
    </font>
    <font>
      <i/>
      <sz val="10"/>
      <color rgb="FFC00000"/>
      <name val="Arial"/>
      <charset val="1"/>
    </font>
    <font>
      <b/>
      <sz val="11"/>
      <color rgb="FFFFFFFF"/>
      <name val="Arial"/>
      <charset val="1"/>
    </font>
    <font>
      <i/>
      <sz val="9"/>
      <name val="Arial"/>
      <charset val="1"/>
    </font>
    <font>
      <i/>
      <sz val="9"/>
      <color rgb="FFC00000"/>
      <name val="Arial"/>
      <charset val="1"/>
    </font>
    <font>
      <b/>
      <sz val="14"/>
      <name val="Arial"/>
      <charset val="1"/>
    </font>
    <font>
      <i/>
      <sz val="10"/>
      <name val="Arial"/>
      <charset val="1"/>
    </font>
    <font>
      <b/>
      <sz val="11"/>
      <color rgb="FFC00000"/>
      <name val="Arial"/>
      <charset val="1"/>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indexed="64"/>
      </patternFill>
    </fill>
    <fill>
      <patternFill patternType="solid">
        <fgColor rgb="FF1F4E78"/>
        <bgColor rgb="FF003366"/>
      </patternFill>
    </fill>
    <fill>
      <patternFill patternType="solid">
        <fgColor rgb="FFFFFF00"/>
        <bgColor rgb="FFFFFF00"/>
      </patternFill>
    </fill>
    <fill>
      <patternFill patternType="solid">
        <fgColor rgb="FFD9D9D9"/>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999999"/>
      </left>
      <right style="thin">
        <color rgb="FF999999"/>
      </right>
      <top style="thin">
        <color rgb="FF999999"/>
      </top>
      <bottom style="thin">
        <color rgb="FF99999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Border="0" applyAlignment="0" applyProtection="0"/>
    <xf numFmtId="44" fontId="5" fillId="0" borderId="0" applyBorder="0" applyAlignment="0" applyProtection="0"/>
    <xf numFmtId="9" fontId="5" fillId="0" borderId="0" applyBorder="0" applyAlignment="0" applyProtection="0"/>
    <xf numFmtId="41" fontId="5" fillId="0" borderId="0" applyBorder="0" applyAlignment="0" applyProtection="0"/>
    <xf numFmtId="42" fontId="5" fillId="0" borderId="0" applyBorder="0" applyAlignment="0" applyProtection="0"/>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6"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7" borderId="5" applyNumberFormat="0" applyAlignment="0" applyProtection="0">
      <alignment vertical="center"/>
    </xf>
    <xf numFmtId="0" fontId="23" fillId="8" borderId="6" applyNumberFormat="0" applyAlignment="0" applyProtection="0">
      <alignment vertical="center"/>
    </xf>
    <xf numFmtId="0" fontId="24" fillId="8" borderId="5" applyNumberFormat="0" applyAlignment="0" applyProtection="0">
      <alignment vertical="center"/>
    </xf>
    <xf numFmtId="0" fontId="25" fillId="9"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25">
    <xf numFmtId="0" fontId="0" fillId="0" borderId="0" xfId="0"/>
    <xf numFmtId="0" fontId="1" fillId="0" borderId="1" xfId="0" applyFont="1" applyBorder="1"/>
    <xf numFmtId="2" fontId="0" fillId="0" borderId="0" xfId="0" applyNumberFormat="1"/>
    <xf numFmtId="0" fontId="0" fillId="2" borderId="0" xfId="0" applyFill="1"/>
    <xf numFmtId="0" fontId="2" fillId="0" borderId="0" xfId="0" applyFont="1" applyBorder="1"/>
    <xf numFmtId="0" fontId="2" fillId="0" borderId="0" xfId="0" applyFont="1"/>
    <xf numFmtId="0" fontId="3" fillId="0" borderId="0" xfId="0" applyFont="1" applyBorder="1"/>
    <xf numFmtId="0" fontId="3" fillId="0" borderId="0" xfId="0" applyFont="1"/>
    <xf numFmtId="0" fontId="4" fillId="0" borderId="0" xfId="0" applyFont="1"/>
    <xf numFmtId="43" fontId="5" fillId="0" borderId="0" xfId="1"/>
    <xf numFmtId="0" fontId="6" fillId="0" borderId="0" xfId="0" applyFont="1" applyBorder="1"/>
    <xf numFmtId="0" fontId="7" fillId="3" borderId="1" xfId="0" applyFont="1" applyFill="1" applyBorder="1" applyAlignment="1">
      <alignment horizontal="center" vertical="center" wrapText="1"/>
    </xf>
    <xf numFmtId="2" fontId="1" fillId="4" borderId="1" xfId="0" applyNumberFormat="1" applyFont="1" applyFill="1" applyBorder="1"/>
    <xf numFmtId="2" fontId="1" fillId="5" borderId="1" xfId="0" applyNumberFormat="1" applyFont="1" applyFill="1" applyBorder="1"/>
    <xf numFmtId="0" fontId="1" fillId="4" borderId="1" xfId="0" applyFont="1" applyFill="1" applyBorder="1"/>
    <xf numFmtId="0" fontId="8" fillId="0" borderId="0" xfId="0" applyFont="1" applyBorder="1"/>
    <xf numFmtId="0" fontId="9" fillId="0" borderId="0" xfId="0" applyFont="1" applyBorder="1"/>
    <xf numFmtId="9" fontId="1" fillId="4" borderId="1" xfId="0" applyNumberFormat="1" applyFont="1" applyFill="1" applyBorder="1"/>
    <xf numFmtId="0" fontId="10" fillId="0" borderId="0" xfId="0" applyFont="1" applyBorder="1"/>
    <xf numFmtId="0" fontId="11" fillId="0" borderId="0" xfId="0" applyFont="1" applyBorder="1"/>
    <xf numFmtId="0" fontId="7" fillId="3" borderId="0" xfId="0" applyFont="1" applyFill="1"/>
    <xf numFmtId="0" fontId="3" fillId="0" borderId="1" xfId="0" applyFont="1" applyBorder="1" applyAlignment="1">
      <alignment vertical="top"/>
    </xf>
    <xf numFmtId="0" fontId="1" fillId="0" borderId="1" xfId="0" applyFont="1" applyBorder="1" applyAlignment="1">
      <alignment vertical="top" wrapText="1"/>
    </xf>
    <xf numFmtId="0" fontId="12" fillId="0" borderId="0" xfId="0" applyFont="1"/>
    <xf numFmtId="0" fontId="11" fillId="0" borderId="0"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99999"/>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2"/>
  <sheetViews>
    <sheetView workbookViewId="0">
      <selection activeCell="A4" sqref="A4:B11"/>
    </sheetView>
  </sheetViews>
  <sheetFormatPr defaultColWidth="8.67592592592593" defaultRowHeight="14.4" outlineLevelCol="1"/>
  <cols>
    <col min="1" max="1" width="38" customWidth="1"/>
    <col min="2" max="2" width="62" customWidth="1"/>
  </cols>
  <sheetData>
    <row r="1" ht="17.4" spans="1:2">
      <c r="A1" s="18" t="s">
        <v>0</v>
      </c>
      <c r="B1" s="18"/>
    </row>
    <row r="2" spans="1:2">
      <c r="A2" s="19" t="s">
        <v>1</v>
      </c>
      <c r="B2" s="19"/>
    </row>
    <row r="4" ht="15.6" spans="1:2">
      <c r="A4" s="4" t="s">
        <v>2</v>
      </c>
      <c r="B4" s="4"/>
    </row>
    <row r="5" spans="1:2">
      <c r="A5" s="6" t="s">
        <v>3</v>
      </c>
      <c r="B5" s="6"/>
    </row>
    <row r="7" ht="15.6" spans="1:2">
      <c r="A7" s="4" t="s">
        <v>4</v>
      </c>
      <c r="B7" s="4"/>
    </row>
    <row r="8" spans="1:2">
      <c r="A8" s="6" t="s">
        <v>5</v>
      </c>
      <c r="B8" s="6"/>
    </row>
    <row r="9" spans="1:2">
      <c r="A9" s="6" t="s">
        <v>6</v>
      </c>
      <c r="B9" s="6"/>
    </row>
    <row r="10" spans="1:2">
      <c r="A10" s="6" t="s">
        <v>7</v>
      </c>
      <c r="B10" s="6"/>
    </row>
    <row r="11" spans="1:2">
      <c r="A11" s="6" t="s">
        <v>8</v>
      </c>
      <c r="B11" s="6"/>
    </row>
    <row r="13" ht="15.6" spans="1:2">
      <c r="A13" s="4" t="s">
        <v>9</v>
      </c>
      <c r="B13" s="4"/>
    </row>
    <row r="14" spans="1:2">
      <c r="A14" s="20" t="s">
        <v>10</v>
      </c>
      <c r="B14" s="20" t="s">
        <v>11</v>
      </c>
    </row>
    <row r="15" ht="30" customHeight="1" spans="1:2">
      <c r="A15" s="21" t="s">
        <v>12</v>
      </c>
      <c r="B15" s="22" t="s">
        <v>13</v>
      </c>
    </row>
    <row r="16" ht="30" customHeight="1" spans="1:2">
      <c r="A16" s="21" t="s">
        <v>14</v>
      </c>
      <c r="B16" s="22" t="s">
        <v>15</v>
      </c>
    </row>
    <row r="17" ht="30" customHeight="1" spans="1:2">
      <c r="A17" s="21" t="s">
        <v>16</v>
      </c>
      <c r="B17" s="22" t="s">
        <v>17</v>
      </c>
    </row>
    <row r="18" ht="30" customHeight="1" spans="1:2">
      <c r="A18" s="21" t="s">
        <v>18</v>
      </c>
      <c r="B18" s="22" t="s">
        <v>19</v>
      </c>
    </row>
    <row r="19" ht="30" customHeight="1" spans="1:2">
      <c r="A19" s="21" t="s">
        <v>20</v>
      </c>
      <c r="B19" s="22" t="s">
        <v>21</v>
      </c>
    </row>
    <row r="20" ht="30" customHeight="1" spans="1:2">
      <c r="A20" s="21" t="s">
        <v>22</v>
      </c>
      <c r="B20" s="22" t="s">
        <v>23</v>
      </c>
    </row>
    <row r="21" ht="30" customHeight="1" spans="1:2">
      <c r="A21" s="21" t="s">
        <v>24</v>
      </c>
      <c r="B21" s="22" t="s">
        <v>25</v>
      </c>
    </row>
    <row r="22" ht="30" customHeight="1" spans="1:2">
      <c r="A22" s="21" t="s">
        <v>26</v>
      </c>
      <c r="B22" s="22" t="s">
        <v>27</v>
      </c>
    </row>
    <row r="23" ht="30" customHeight="1" spans="1:2">
      <c r="A23" s="21" t="s">
        <v>28</v>
      </c>
      <c r="B23" s="22" t="s">
        <v>29</v>
      </c>
    </row>
    <row r="24" ht="30" customHeight="1" spans="1:2">
      <c r="A24" s="21" t="s">
        <v>30</v>
      </c>
      <c r="B24" s="22" t="s">
        <v>31</v>
      </c>
    </row>
    <row r="25" ht="30" customHeight="1" spans="1:2">
      <c r="A25" s="21" t="s">
        <v>32</v>
      </c>
      <c r="B25" s="22" t="s">
        <v>33</v>
      </c>
    </row>
    <row r="26" ht="30" customHeight="1" spans="1:2">
      <c r="A26" s="21" t="s">
        <v>34</v>
      </c>
      <c r="B26" s="22" t="s">
        <v>35</v>
      </c>
    </row>
    <row r="27" ht="30" customHeight="1" spans="1:2">
      <c r="A27" s="21" t="s">
        <v>36</v>
      </c>
      <c r="B27" s="22" t="s">
        <v>37</v>
      </c>
    </row>
    <row r="28" ht="30" customHeight="1" spans="1:2">
      <c r="A28" s="21" t="s">
        <v>38</v>
      </c>
      <c r="B28" s="22" t="s">
        <v>39</v>
      </c>
    </row>
    <row r="29" ht="30" customHeight="1" spans="1:2">
      <c r="A29" s="21" t="s">
        <v>40</v>
      </c>
      <c r="B29" s="22" t="s">
        <v>41</v>
      </c>
    </row>
    <row r="31" spans="1:1">
      <c r="A31" s="23" t="s">
        <v>42</v>
      </c>
    </row>
    <row r="32" ht="39.75" customHeight="1" spans="1:2">
      <c r="A32" s="24" t="s">
        <v>43</v>
      </c>
      <c r="B32" s="24"/>
    </row>
  </sheetData>
  <mergeCells count="11">
    <mergeCell ref="A1:B1"/>
    <mergeCell ref="A2:B2"/>
    <mergeCell ref="A4:B4"/>
    <mergeCell ref="A5:B5"/>
    <mergeCell ref="A7:B7"/>
    <mergeCell ref="A8:B8"/>
    <mergeCell ref="A9:B9"/>
    <mergeCell ref="A10:B10"/>
    <mergeCell ref="A11:B11"/>
    <mergeCell ref="A13:B13"/>
    <mergeCell ref="A32:B32"/>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7"/>
  <sheetViews>
    <sheetView workbookViewId="0">
      <selection activeCell="A36" sqref="A36:B37"/>
    </sheetView>
  </sheetViews>
  <sheetFormatPr defaultColWidth="8.67592592592593" defaultRowHeight="14.4"/>
  <cols>
    <col min="1" max="1" width="22" customWidth="1"/>
    <col min="2" max="2" width="13" customWidth="1"/>
    <col min="3" max="3" width="12" customWidth="1"/>
    <col min="4" max="4" width="16" customWidth="1"/>
    <col min="5" max="7" width="12" customWidth="1"/>
    <col min="8" max="8" width="13" customWidth="1"/>
    <col min="9" max="10" width="9" customWidth="1"/>
  </cols>
  <sheetData>
    <row r="1" spans="1:10">
      <c r="A1" s="10" t="s">
        <v>44</v>
      </c>
      <c r="B1" s="10"/>
      <c r="C1" s="10"/>
      <c r="D1" s="10"/>
      <c r="E1" s="10"/>
      <c r="F1" s="10"/>
      <c r="G1" s="10"/>
      <c r="H1" s="10"/>
      <c r="I1" s="10"/>
      <c r="J1" s="10"/>
    </row>
    <row r="2" ht="31.5" customHeight="1" spans="1:10">
      <c r="A2" s="11" t="s">
        <v>45</v>
      </c>
      <c r="B2" s="11" t="s">
        <v>46</v>
      </c>
      <c r="C2" s="11" t="s">
        <v>47</v>
      </c>
      <c r="D2" s="11" t="s">
        <v>48</v>
      </c>
      <c r="E2" s="11" t="s">
        <v>49</v>
      </c>
      <c r="F2" s="11" t="s">
        <v>50</v>
      </c>
      <c r="G2" s="11" t="s">
        <v>40</v>
      </c>
      <c r="H2" s="11" t="s">
        <v>28</v>
      </c>
      <c r="I2" s="11" t="s">
        <v>30</v>
      </c>
      <c r="J2" s="11" t="s">
        <v>36</v>
      </c>
    </row>
    <row r="3" spans="1:10">
      <c r="A3" s="1" t="s">
        <v>51</v>
      </c>
      <c r="B3" s="12">
        <v>11.42</v>
      </c>
      <c r="C3" s="12">
        <v>0.75</v>
      </c>
      <c r="D3" s="13">
        <f t="shared" ref="D3:D9" si="0">B3*C3</f>
        <v>8.565</v>
      </c>
      <c r="E3" s="12">
        <v>8</v>
      </c>
      <c r="F3" s="12">
        <v>1.33</v>
      </c>
      <c r="G3" s="14">
        <v>3</v>
      </c>
      <c r="H3" s="14">
        <v>1.2</v>
      </c>
      <c r="I3" s="14">
        <v>2</v>
      </c>
      <c r="J3" s="17">
        <v>0.4</v>
      </c>
    </row>
    <row r="4" spans="1:10">
      <c r="A4" s="1" t="s">
        <v>52</v>
      </c>
      <c r="B4" s="12">
        <v>13.04</v>
      </c>
      <c r="C4" s="12">
        <v>0.75</v>
      </c>
      <c r="D4" s="13">
        <f t="shared" si="0"/>
        <v>9.78</v>
      </c>
      <c r="E4" s="12">
        <v>8.33</v>
      </c>
      <c r="F4" s="12">
        <v>1.5</v>
      </c>
      <c r="G4" s="14">
        <v>3</v>
      </c>
      <c r="H4" s="14">
        <v>1.2</v>
      </c>
      <c r="I4" s="14">
        <v>2</v>
      </c>
      <c r="J4" s="17">
        <v>0.4</v>
      </c>
    </row>
    <row r="5" spans="1:10">
      <c r="A5" s="1" t="s">
        <v>53</v>
      </c>
      <c r="B5" s="12">
        <v>15.53</v>
      </c>
      <c r="C5" s="12">
        <v>0.75</v>
      </c>
      <c r="D5" s="13">
        <f t="shared" si="0"/>
        <v>11.6475</v>
      </c>
      <c r="E5" s="12">
        <v>8.33</v>
      </c>
      <c r="F5" s="12">
        <v>1.67</v>
      </c>
      <c r="G5" s="14">
        <v>3</v>
      </c>
      <c r="H5" s="14">
        <v>1.2</v>
      </c>
      <c r="I5" s="14">
        <v>2</v>
      </c>
      <c r="J5" s="17">
        <v>0.4</v>
      </c>
    </row>
    <row r="6" spans="1:10">
      <c r="A6" s="1" t="s">
        <v>54</v>
      </c>
      <c r="B6" s="12">
        <v>16.88</v>
      </c>
      <c r="C6" s="12">
        <v>0.8</v>
      </c>
      <c r="D6" s="13">
        <f t="shared" si="0"/>
        <v>13.504</v>
      </c>
      <c r="E6" s="12">
        <v>10.45</v>
      </c>
      <c r="F6" s="12">
        <v>1.82</v>
      </c>
      <c r="G6" s="14">
        <v>4</v>
      </c>
      <c r="H6" s="14">
        <v>1.8</v>
      </c>
      <c r="I6" s="14">
        <v>2</v>
      </c>
      <c r="J6" s="17">
        <v>0.4</v>
      </c>
    </row>
    <row r="7" spans="1:10">
      <c r="A7" s="1" t="s">
        <v>55</v>
      </c>
      <c r="B7" s="12">
        <v>31.47</v>
      </c>
      <c r="C7" s="12">
        <v>0.9</v>
      </c>
      <c r="D7" s="13">
        <f t="shared" si="0"/>
        <v>28.323</v>
      </c>
      <c r="E7" s="12">
        <v>11.82</v>
      </c>
      <c r="F7" s="12">
        <v>2.27</v>
      </c>
      <c r="G7" s="14">
        <v>4</v>
      </c>
      <c r="H7" s="14">
        <v>1.8</v>
      </c>
      <c r="I7" s="14">
        <v>2</v>
      </c>
      <c r="J7" s="17">
        <v>0.4</v>
      </c>
    </row>
    <row r="8" spans="1:10">
      <c r="A8" s="1" t="s">
        <v>56</v>
      </c>
      <c r="B8" s="12">
        <v>40.44</v>
      </c>
      <c r="C8" s="12">
        <v>0.9</v>
      </c>
      <c r="D8" s="13">
        <f t="shared" si="0"/>
        <v>36.396</v>
      </c>
      <c r="E8" s="12">
        <v>13.18</v>
      </c>
      <c r="F8" s="12">
        <v>2.73</v>
      </c>
      <c r="G8" s="14">
        <v>4</v>
      </c>
      <c r="H8" s="14">
        <v>2.8</v>
      </c>
      <c r="I8" s="14">
        <v>2</v>
      </c>
      <c r="J8" s="17">
        <v>0.4</v>
      </c>
    </row>
    <row r="9" spans="1:10">
      <c r="A9" s="1" t="s">
        <v>57</v>
      </c>
      <c r="B9" s="12">
        <v>50.64</v>
      </c>
      <c r="C9" s="12">
        <v>0.9</v>
      </c>
      <c r="D9" s="13">
        <f t="shared" si="0"/>
        <v>45.576</v>
      </c>
      <c r="E9" s="12">
        <v>15</v>
      </c>
      <c r="F9" s="12">
        <v>3.33</v>
      </c>
      <c r="G9" s="14">
        <v>4</v>
      </c>
      <c r="H9" s="14">
        <v>2.8</v>
      </c>
      <c r="I9" s="14">
        <v>2</v>
      </c>
      <c r="J9" s="17">
        <v>0.4</v>
      </c>
    </row>
    <row r="11" spans="1:10">
      <c r="A11" s="15" t="s">
        <v>58</v>
      </c>
      <c r="B11" s="15"/>
      <c r="C11" s="15"/>
      <c r="D11" s="15"/>
      <c r="E11" s="15"/>
      <c r="F11" s="15"/>
      <c r="G11" s="15"/>
      <c r="H11" s="15"/>
      <c r="I11" s="15"/>
      <c r="J11" s="15"/>
    </row>
    <row r="12" spans="1:10">
      <c r="A12" s="16" t="s">
        <v>59</v>
      </c>
      <c r="B12" s="16"/>
      <c r="C12" s="16"/>
      <c r="D12" s="16"/>
      <c r="E12" s="16"/>
      <c r="F12" s="16"/>
      <c r="G12" s="16"/>
      <c r="H12" s="16"/>
      <c r="I12" s="16"/>
      <c r="J12" s="16"/>
    </row>
    <row r="19" spans="1:3">
      <c r="A19" t="s">
        <v>60</v>
      </c>
      <c r="C19" s="2">
        <f>B6*17</f>
        <v>286.96</v>
      </c>
    </row>
    <row r="20" spans="3:3">
      <c r="C20">
        <v>8.7</v>
      </c>
    </row>
    <row r="22" spans="1:15">
      <c r="A22" t="s">
        <v>61</v>
      </c>
      <c r="C22" t="s">
        <v>62</v>
      </c>
      <c r="D22" t="s">
        <v>63</v>
      </c>
      <c r="E22" t="s">
        <v>64</v>
      </c>
      <c r="F22" t="s">
        <v>65</v>
      </c>
      <c r="G22" t="s">
        <v>66</v>
      </c>
      <c r="H22" t="s">
        <v>67</v>
      </c>
      <c r="I22" t="s">
        <v>68</v>
      </c>
      <c r="M22" t="s">
        <v>69</v>
      </c>
      <c r="N22" t="s">
        <v>70</v>
      </c>
      <c r="O22" t="s">
        <v>71</v>
      </c>
    </row>
    <row r="23" spans="1:15">
      <c r="A23" s="1" t="s">
        <v>51</v>
      </c>
      <c r="B23" s="2">
        <f>E3</f>
        <v>8</v>
      </c>
      <c r="C23" s="3">
        <f>$C$20</f>
        <v>8.7</v>
      </c>
      <c r="D23" s="2">
        <f>B3</f>
        <v>11.42</v>
      </c>
      <c r="E23">
        <f>G3</f>
        <v>3</v>
      </c>
      <c r="F23">
        <v>5</v>
      </c>
      <c r="G23">
        <f>F23-E23</f>
        <v>2</v>
      </c>
      <c r="H23" s="2">
        <f>F3</f>
        <v>1.33</v>
      </c>
      <c r="I23" s="9">
        <f>MAX(0,G23)*H23</f>
        <v>2.66</v>
      </c>
      <c r="M23" s="2">
        <f>I23+D23*C23+B23</f>
        <v>110.014</v>
      </c>
      <c r="N23">
        <v>192</v>
      </c>
      <c r="O23">
        <v>125</v>
      </c>
    </row>
    <row r="24" spans="1:15">
      <c r="A24" s="1" t="s">
        <v>52</v>
      </c>
      <c r="B24" s="2">
        <f t="shared" ref="B24:B29" si="1">E4</f>
        <v>8.33</v>
      </c>
      <c r="C24" s="3">
        <f t="shared" ref="C24:C29" si="2">$C$20</f>
        <v>8.7</v>
      </c>
      <c r="D24" s="2">
        <f t="shared" ref="D24:D29" si="3">B4</f>
        <v>13.04</v>
      </c>
      <c r="E24">
        <f t="shared" ref="E24:E29" si="4">G4</f>
        <v>3</v>
      </c>
      <c r="F24">
        <v>5</v>
      </c>
      <c r="G24">
        <f t="shared" ref="G24:G29" si="5">F24-E24</f>
        <v>2</v>
      </c>
      <c r="H24" s="2">
        <f t="shared" ref="H24:H29" si="6">F4</f>
        <v>1.5</v>
      </c>
      <c r="I24" s="9">
        <f t="shared" ref="I24:I29" si="7">MAX(0,G24)*H24</f>
        <v>3</v>
      </c>
      <c r="M24" s="2">
        <f t="shared" ref="M24:M29" si="8">I24+D24*C24+B24</f>
        <v>124.778</v>
      </c>
      <c r="N24">
        <v>192</v>
      </c>
      <c r="O24">
        <v>144</v>
      </c>
    </row>
    <row r="25" spans="1:14">
      <c r="A25" s="1" t="s">
        <v>53</v>
      </c>
      <c r="B25" s="2">
        <f t="shared" si="1"/>
        <v>8.33</v>
      </c>
      <c r="C25" s="3">
        <f t="shared" si="2"/>
        <v>8.7</v>
      </c>
      <c r="D25" s="2">
        <f t="shared" si="3"/>
        <v>15.53</v>
      </c>
      <c r="E25">
        <f t="shared" si="4"/>
        <v>3</v>
      </c>
      <c r="F25">
        <v>5</v>
      </c>
      <c r="G25">
        <f t="shared" si="5"/>
        <v>2</v>
      </c>
      <c r="H25" s="2">
        <f t="shared" si="6"/>
        <v>1.67</v>
      </c>
      <c r="I25" s="9">
        <f t="shared" si="7"/>
        <v>3.34</v>
      </c>
      <c r="M25" s="2">
        <f t="shared" si="8"/>
        <v>146.781</v>
      </c>
      <c r="N25">
        <v>192</v>
      </c>
    </row>
    <row r="26" spans="1:15">
      <c r="A26" s="1" t="s">
        <v>54</v>
      </c>
      <c r="B26" s="2">
        <f t="shared" si="1"/>
        <v>10.45</v>
      </c>
      <c r="C26" s="3">
        <f t="shared" si="2"/>
        <v>8.7</v>
      </c>
      <c r="D26" s="2">
        <f t="shared" si="3"/>
        <v>16.88</v>
      </c>
      <c r="E26">
        <f t="shared" si="4"/>
        <v>4</v>
      </c>
      <c r="F26">
        <v>5</v>
      </c>
      <c r="G26">
        <f t="shared" si="5"/>
        <v>1</v>
      </c>
      <c r="H26" s="2">
        <f t="shared" si="6"/>
        <v>1.82</v>
      </c>
      <c r="I26" s="9">
        <f t="shared" si="7"/>
        <v>1.82</v>
      </c>
      <c r="M26" s="2">
        <f t="shared" si="8"/>
        <v>159.126</v>
      </c>
      <c r="N26">
        <v>314</v>
      </c>
      <c r="O26">
        <v>287</v>
      </c>
    </row>
    <row r="27" spans="1:15">
      <c r="A27" s="1" t="s">
        <v>55</v>
      </c>
      <c r="B27" s="2">
        <f t="shared" si="1"/>
        <v>11.82</v>
      </c>
      <c r="C27" s="3">
        <f t="shared" si="2"/>
        <v>8.7</v>
      </c>
      <c r="D27" s="2">
        <f t="shared" si="3"/>
        <v>31.47</v>
      </c>
      <c r="E27">
        <f t="shared" si="4"/>
        <v>4</v>
      </c>
      <c r="F27">
        <v>5</v>
      </c>
      <c r="G27">
        <f t="shared" si="5"/>
        <v>1</v>
      </c>
      <c r="H27" s="2">
        <f t="shared" si="6"/>
        <v>2.27</v>
      </c>
      <c r="I27" s="9">
        <f t="shared" si="7"/>
        <v>2.27</v>
      </c>
      <c r="M27" s="2">
        <f t="shared" si="8"/>
        <v>287.879</v>
      </c>
      <c r="N27">
        <v>386</v>
      </c>
      <c r="O27">
        <v>522</v>
      </c>
    </row>
    <row r="28" spans="1:15">
      <c r="A28" s="1" t="s">
        <v>56</v>
      </c>
      <c r="B28" s="2">
        <f t="shared" si="1"/>
        <v>13.18</v>
      </c>
      <c r="C28" s="3">
        <f t="shared" si="2"/>
        <v>8.7</v>
      </c>
      <c r="D28" s="2">
        <f t="shared" si="3"/>
        <v>40.44</v>
      </c>
      <c r="E28">
        <f t="shared" si="4"/>
        <v>4</v>
      </c>
      <c r="F28">
        <v>5</v>
      </c>
      <c r="G28">
        <f t="shared" si="5"/>
        <v>1</v>
      </c>
      <c r="H28" s="2">
        <f t="shared" si="6"/>
        <v>2.73</v>
      </c>
      <c r="I28" s="9">
        <f t="shared" si="7"/>
        <v>2.73</v>
      </c>
      <c r="M28" s="2">
        <f t="shared" si="8"/>
        <v>367.738</v>
      </c>
      <c r="O28">
        <v>448</v>
      </c>
    </row>
    <row r="29" spans="1:15">
      <c r="A29" s="1" t="s">
        <v>57</v>
      </c>
      <c r="B29" s="2">
        <f t="shared" si="1"/>
        <v>15</v>
      </c>
      <c r="C29" s="3">
        <f t="shared" si="2"/>
        <v>8.7</v>
      </c>
      <c r="D29" s="2">
        <f t="shared" si="3"/>
        <v>50.64</v>
      </c>
      <c r="E29">
        <f t="shared" si="4"/>
        <v>4</v>
      </c>
      <c r="F29">
        <v>5</v>
      </c>
      <c r="G29">
        <f t="shared" si="5"/>
        <v>1</v>
      </c>
      <c r="H29" s="2">
        <f t="shared" si="6"/>
        <v>3.33</v>
      </c>
      <c r="I29" s="9">
        <f t="shared" si="7"/>
        <v>3.33</v>
      </c>
      <c r="M29" s="2">
        <f t="shared" si="8"/>
        <v>458.898</v>
      </c>
      <c r="N29">
        <v>530</v>
      </c>
      <c r="O29">
        <v>646</v>
      </c>
    </row>
    <row r="30" spans="1:15">
      <c r="A30" t="s">
        <v>72</v>
      </c>
      <c r="N30">
        <v>806</v>
      </c>
      <c r="O30">
        <v>716</v>
      </c>
    </row>
    <row r="36" spans="1:1">
      <c r="A36" t="s">
        <v>73</v>
      </c>
    </row>
    <row r="37" spans="1:2">
      <c r="A37" t="s">
        <v>74</v>
      </c>
      <c r="B37" t="s">
        <v>75</v>
      </c>
    </row>
  </sheetData>
  <mergeCells count="3">
    <mergeCell ref="A1:J1"/>
    <mergeCell ref="A11:J11"/>
    <mergeCell ref="A12:J12"/>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9"/>
  <sheetViews>
    <sheetView tabSelected="1" topLeftCell="A25" workbookViewId="0">
      <selection activeCell="A45" sqref="A45"/>
    </sheetView>
  </sheetViews>
  <sheetFormatPr defaultColWidth="8.88888888888889" defaultRowHeight="14.4"/>
  <cols>
    <col min="1" max="1" width="97" customWidth="1"/>
    <col min="3" max="3" width="2.66666666666667" customWidth="1"/>
  </cols>
  <sheetData>
    <row r="1" spans="1:1">
      <c r="A1" t="s">
        <v>60</v>
      </c>
    </row>
    <row r="6" spans="4:4">
      <c r="D6">
        <v>8.7</v>
      </c>
    </row>
    <row r="8" spans="1:16">
      <c r="A8" t="s">
        <v>61</v>
      </c>
      <c r="B8" t="s">
        <v>75</v>
      </c>
      <c r="D8" t="s">
        <v>62</v>
      </c>
      <c r="E8" t="s">
        <v>63</v>
      </c>
      <c r="F8" t="s">
        <v>64</v>
      </c>
      <c r="G8" t="s">
        <v>65</v>
      </c>
      <c r="H8" t="s">
        <v>66</v>
      </c>
      <c r="I8" t="s">
        <v>67</v>
      </c>
      <c r="J8" t="s">
        <v>68</v>
      </c>
      <c r="N8" t="s">
        <v>69</v>
      </c>
      <c r="O8" t="s">
        <v>70</v>
      </c>
      <c r="P8" t="s">
        <v>71</v>
      </c>
    </row>
    <row r="9" spans="1:16">
      <c r="A9" s="1" t="s">
        <v>51</v>
      </c>
      <c r="B9" s="2">
        <f>'Rate Card (Enter These)'!E3</f>
        <v>8</v>
      </c>
      <c r="C9" s="2"/>
      <c r="D9" s="3">
        <f>$D$6</f>
        <v>8.7</v>
      </c>
      <c r="E9" s="2">
        <f>'Rate Card (Enter These)'!B3</f>
        <v>11.42</v>
      </c>
      <c r="F9">
        <f>'Rate Card (Enter These)'!G3</f>
        <v>3</v>
      </c>
      <c r="G9">
        <v>5</v>
      </c>
      <c r="H9">
        <f t="shared" ref="H9:H15" si="0">G9-F9</f>
        <v>2</v>
      </c>
      <c r="I9" s="2">
        <f>'Rate Card (Enter These)'!F3</f>
        <v>1.33</v>
      </c>
      <c r="J9" s="9">
        <f t="shared" ref="J9:J15" si="1">MAX(0,H9)*I9</f>
        <v>2.66</v>
      </c>
      <c r="N9" s="2">
        <f t="shared" ref="N9:N15" si="2">J9+E9*D9+B9</f>
        <v>110.014</v>
      </c>
      <c r="O9">
        <v>192</v>
      </c>
      <c r="P9">
        <v>125</v>
      </c>
    </row>
    <row r="10" spans="1:16">
      <c r="A10" s="1" t="s">
        <v>52</v>
      </c>
      <c r="B10" s="2">
        <f>'Rate Card (Enter These)'!E4</f>
        <v>8.33</v>
      </c>
      <c r="C10" s="2"/>
      <c r="D10" s="3">
        <f t="shared" ref="D10:D15" si="3">$D$6</f>
        <v>8.7</v>
      </c>
      <c r="E10" s="2">
        <f>'Rate Card (Enter These)'!B4</f>
        <v>13.04</v>
      </c>
      <c r="F10">
        <f>'Rate Card (Enter These)'!G4</f>
        <v>3</v>
      </c>
      <c r="G10">
        <v>5</v>
      </c>
      <c r="H10">
        <f t="shared" si="0"/>
        <v>2</v>
      </c>
      <c r="I10" s="2">
        <f>'Rate Card (Enter These)'!F4</f>
        <v>1.5</v>
      </c>
      <c r="J10" s="9">
        <f t="shared" si="1"/>
        <v>3</v>
      </c>
      <c r="N10" s="2">
        <f t="shared" si="2"/>
        <v>124.778</v>
      </c>
      <c r="O10">
        <v>192</v>
      </c>
      <c r="P10">
        <v>144</v>
      </c>
    </row>
    <row r="11" spans="1:15">
      <c r="A11" s="1" t="s">
        <v>53</v>
      </c>
      <c r="B11" s="2">
        <f>'Rate Card (Enter These)'!E5</f>
        <v>8.33</v>
      </c>
      <c r="C11" s="2"/>
      <c r="D11" s="3">
        <f t="shared" si="3"/>
        <v>8.7</v>
      </c>
      <c r="E11" s="2">
        <f>'Rate Card (Enter These)'!B5</f>
        <v>15.53</v>
      </c>
      <c r="F11">
        <f>'Rate Card (Enter These)'!G5</f>
        <v>3</v>
      </c>
      <c r="G11">
        <v>5</v>
      </c>
      <c r="H11">
        <f t="shared" si="0"/>
        <v>2</v>
      </c>
      <c r="I11" s="2">
        <f>'Rate Card (Enter These)'!F5</f>
        <v>1.67</v>
      </c>
      <c r="J11" s="9">
        <f t="shared" si="1"/>
        <v>3.34</v>
      </c>
      <c r="N11" s="2">
        <f t="shared" si="2"/>
        <v>146.781</v>
      </c>
      <c r="O11">
        <v>192</v>
      </c>
    </row>
    <row r="12" spans="1:16">
      <c r="A12" s="1" t="s">
        <v>54</v>
      </c>
      <c r="B12" s="2">
        <f>'Rate Card (Enter These)'!E6</f>
        <v>10.45</v>
      </c>
      <c r="C12" s="2"/>
      <c r="D12" s="3">
        <f t="shared" si="3"/>
        <v>8.7</v>
      </c>
      <c r="E12" s="2">
        <f>'Rate Card (Enter These)'!B6</f>
        <v>16.88</v>
      </c>
      <c r="F12">
        <f>'Rate Card (Enter These)'!G6</f>
        <v>4</v>
      </c>
      <c r="G12">
        <v>5</v>
      </c>
      <c r="H12">
        <f t="shared" si="0"/>
        <v>1</v>
      </c>
      <c r="I12" s="2">
        <f>'Rate Card (Enter These)'!F6</f>
        <v>1.82</v>
      </c>
      <c r="J12" s="9">
        <f t="shared" si="1"/>
        <v>1.82</v>
      </c>
      <c r="N12" s="2">
        <f t="shared" si="2"/>
        <v>159.126</v>
      </c>
      <c r="O12">
        <v>314</v>
      </c>
      <c r="P12">
        <v>287</v>
      </c>
    </row>
    <row r="13" spans="1:16">
      <c r="A13" s="1" t="s">
        <v>55</v>
      </c>
      <c r="B13" s="2">
        <f>'Rate Card (Enter These)'!E7</f>
        <v>11.82</v>
      </c>
      <c r="C13" s="2"/>
      <c r="D13" s="3">
        <f t="shared" si="3"/>
        <v>8.7</v>
      </c>
      <c r="E13" s="2">
        <f>'Rate Card (Enter These)'!B7</f>
        <v>31.47</v>
      </c>
      <c r="F13">
        <f>'Rate Card (Enter These)'!G7</f>
        <v>4</v>
      </c>
      <c r="G13">
        <v>5</v>
      </c>
      <c r="H13">
        <f t="shared" si="0"/>
        <v>1</v>
      </c>
      <c r="I13" s="2">
        <f>'Rate Card (Enter These)'!F7</f>
        <v>2.27</v>
      </c>
      <c r="J13" s="9">
        <f t="shared" si="1"/>
        <v>2.27</v>
      </c>
      <c r="N13" s="2">
        <f t="shared" si="2"/>
        <v>287.879</v>
      </c>
      <c r="O13">
        <v>386</v>
      </c>
      <c r="P13">
        <v>522</v>
      </c>
    </row>
    <row r="14" spans="1:16">
      <c r="A14" s="1" t="s">
        <v>56</v>
      </c>
      <c r="B14" s="2">
        <f>'Rate Card (Enter These)'!E8</f>
        <v>13.18</v>
      </c>
      <c r="C14" s="2"/>
      <c r="D14" s="3">
        <f t="shared" si="3"/>
        <v>8.7</v>
      </c>
      <c r="E14" s="2">
        <f>'Rate Card (Enter These)'!B8</f>
        <v>40.44</v>
      </c>
      <c r="F14">
        <f>'Rate Card (Enter These)'!G8</f>
        <v>4</v>
      </c>
      <c r="G14">
        <v>5</v>
      </c>
      <c r="H14">
        <f t="shared" si="0"/>
        <v>1</v>
      </c>
      <c r="I14" s="2">
        <f>'Rate Card (Enter These)'!F8</f>
        <v>2.73</v>
      </c>
      <c r="J14" s="9">
        <f t="shared" si="1"/>
        <v>2.73</v>
      </c>
      <c r="N14" s="2">
        <f t="shared" si="2"/>
        <v>367.738</v>
      </c>
      <c r="P14">
        <v>448</v>
      </c>
    </row>
    <row r="15" spans="1:16">
      <c r="A15" s="1" t="s">
        <v>57</v>
      </c>
      <c r="B15" s="2">
        <f>'Rate Card (Enter These)'!E9</f>
        <v>15</v>
      </c>
      <c r="C15" s="2"/>
      <c r="D15" s="3">
        <f t="shared" si="3"/>
        <v>8.7</v>
      </c>
      <c r="E15" s="2">
        <f>'Rate Card (Enter These)'!B9</f>
        <v>50.64</v>
      </c>
      <c r="F15">
        <f>'Rate Card (Enter These)'!G9</f>
        <v>4</v>
      </c>
      <c r="G15">
        <v>5</v>
      </c>
      <c r="H15">
        <f t="shared" si="0"/>
        <v>1</v>
      </c>
      <c r="I15" s="2">
        <f>'Rate Card (Enter These)'!F9</f>
        <v>3.33</v>
      </c>
      <c r="J15" s="9">
        <f t="shared" si="1"/>
        <v>3.33</v>
      </c>
      <c r="N15" s="2">
        <f t="shared" si="2"/>
        <v>458.898</v>
      </c>
      <c r="O15">
        <v>530</v>
      </c>
      <c r="P15">
        <v>646</v>
      </c>
    </row>
    <row r="16" spans="1:16">
      <c r="A16" t="s">
        <v>72</v>
      </c>
      <c r="O16">
        <v>806</v>
      </c>
      <c r="P16">
        <v>716</v>
      </c>
    </row>
    <row r="18" spans="1:1">
      <c r="A18" t="s">
        <v>73</v>
      </c>
    </row>
    <row r="19" spans="1:4">
      <c r="A19" t="s">
        <v>74</v>
      </c>
      <c r="B19" t="s">
        <v>76</v>
      </c>
      <c r="C19" t="s">
        <v>77</v>
      </c>
      <c r="D19" t="s">
        <v>78</v>
      </c>
    </row>
    <row r="23" ht="15.6" spans="1:3">
      <c r="A23" s="4" t="s">
        <v>2</v>
      </c>
      <c r="B23" s="4"/>
      <c r="C23" s="5"/>
    </row>
    <row r="24" spans="1:3">
      <c r="A24" s="6" t="s">
        <v>3</v>
      </c>
      <c r="B24" s="6"/>
      <c r="C24" s="7"/>
    </row>
    <row r="26" ht="15.6" spans="1:3">
      <c r="A26" s="4" t="s">
        <v>4</v>
      </c>
      <c r="B26" s="4"/>
      <c r="C26" s="5"/>
    </row>
    <row r="27" spans="1:3">
      <c r="A27" s="6" t="s">
        <v>5</v>
      </c>
      <c r="B27" s="6"/>
      <c r="C27" s="7"/>
    </row>
    <row r="28" spans="1:3">
      <c r="A28" s="6" t="s">
        <v>6</v>
      </c>
      <c r="B28" s="6"/>
      <c r="C28" s="7"/>
    </row>
    <row r="29" spans="1:3">
      <c r="A29" s="6" t="s">
        <v>7</v>
      </c>
      <c r="B29" s="6"/>
      <c r="C29" s="7"/>
    </row>
    <row r="30" spans="1:3">
      <c r="A30" s="6" t="s">
        <v>8</v>
      </c>
      <c r="B30" s="6"/>
      <c r="C30" s="7"/>
    </row>
    <row r="33" spans="1:1">
      <c r="A33" t="s">
        <v>79</v>
      </c>
    </row>
    <row r="34" spans="1:1">
      <c r="A34" t="s">
        <v>80</v>
      </c>
    </row>
    <row r="35" spans="1:1">
      <c r="A35" t="s">
        <v>81</v>
      </c>
    </row>
    <row r="36" spans="1:1">
      <c r="A36" t="s">
        <v>82</v>
      </c>
    </row>
    <row r="37" spans="1:1">
      <c r="A37" t="s">
        <v>83</v>
      </c>
    </row>
    <row r="38" spans="1:1">
      <c r="A38" t="s">
        <v>84</v>
      </c>
    </row>
    <row r="40" spans="1:1">
      <c r="A40" s="8" t="s">
        <v>85</v>
      </c>
    </row>
    <row r="41" spans="1:1">
      <c r="A41" t="s">
        <v>86</v>
      </c>
    </row>
    <row r="42" spans="1:1">
      <c r="A42" t="s">
        <v>87</v>
      </c>
    </row>
    <row r="43" spans="1:1">
      <c r="A43" t="s">
        <v>88</v>
      </c>
    </row>
    <row r="44" spans="1:1">
      <c r="A44" t="s">
        <v>89</v>
      </c>
    </row>
    <row r="47" spans="1:1">
      <c r="A47" s="8" t="s">
        <v>90</v>
      </c>
    </row>
    <row r="48" spans="1:1">
      <c r="A48" t="s">
        <v>76</v>
      </c>
    </row>
    <row r="49" spans="1:1">
      <c r="A49" t="s">
        <v>91</v>
      </c>
    </row>
    <row r="50" spans="1:1">
      <c r="A50" t="s">
        <v>92</v>
      </c>
    </row>
    <row r="51" spans="1:1">
      <c r="A51" t="s">
        <v>93</v>
      </c>
    </row>
    <row r="52" spans="1:1">
      <c r="A52" t="s">
        <v>94</v>
      </c>
    </row>
    <row r="53" spans="1:1">
      <c r="A53" t="s">
        <v>95</v>
      </c>
    </row>
    <row r="54" spans="1:1">
      <c r="A54" t="s">
        <v>96</v>
      </c>
    </row>
    <row r="55" spans="1:1">
      <c r="A55" t="s">
        <v>97</v>
      </c>
    </row>
    <row r="56" spans="1:1">
      <c r="A56" t="s">
        <v>98</v>
      </c>
    </row>
    <row r="57" spans="1:1">
      <c r="A57" t="s">
        <v>99</v>
      </c>
    </row>
    <row r="58" spans="1:1">
      <c r="A58" t="s">
        <v>100</v>
      </c>
    </row>
    <row r="59" spans="1:1">
      <c r="A59" t="s">
        <v>101</v>
      </c>
    </row>
  </sheetData>
  <mergeCells count="7">
    <mergeCell ref="A23:B23"/>
    <mergeCell ref="A24:B24"/>
    <mergeCell ref="A26:B26"/>
    <mergeCell ref="A27:B27"/>
    <mergeCell ref="A28:B28"/>
    <mergeCell ref="A29:B29"/>
    <mergeCell ref="A30:B3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3</vt:i4>
      </vt:variant>
    </vt:vector>
  </HeadingPairs>
  <TitlesOfParts>
    <vt:vector size="3" baseType="lpstr">
      <vt:lpstr>Formula &amp; Legend</vt:lpstr>
      <vt:lpstr>Rate Card (Enter These)</vt:lpstr>
      <vt:lpstr>Formula and Simulation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Muhummad Ziaur Rahman</cp:lastModifiedBy>
  <cp:revision>0</cp:revision>
  <dcterms:created xsi:type="dcterms:W3CDTF">2026-08-25T05:36:00Z</dcterms:created>
  <dcterms:modified xsi:type="dcterms:W3CDTF">2026-08-26T04:43:03Z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9C10DE8EE66A42B5AB00A54E58E51D38_12</vt:lpwstr>
  </property>
  <property fmtid="{D5CDD505-2E9C-101B-9397-08002B2CF9AE}" pid="3" name="KSOProductBuildVer">
    <vt:lpwstr>2057-12.2.0.23206</vt:lpwstr>
  </property>
</Properties>
</file>